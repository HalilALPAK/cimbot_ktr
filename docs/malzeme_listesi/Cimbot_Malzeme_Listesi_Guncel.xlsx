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TL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6E7D6A"/>
      <sz val="9"/>
    </font>
  </fonts>
  <fills count="6">
    <fill>
      <patternFill/>
    </fill>
    <fill>
      <patternFill patternType="gray125"/>
    </fill>
    <fill>
      <patternFill patternType="solid">
        <fgColor rgb="002C5F2D"/>
      </patternFill>
    </fill>
    <fill>
      <patternFill patternType="solid">
        <fgColor rgb="00FFFFFF"/>
      </patternFill>
    </fill>
    <fill>
      <patternFill patternType="solid">
        <fgColor rgb="00F5F7F1"/>
      </patternFill>
    </fill>
    <fill>
      <patternFill patternType="solid">
        <fgColor rgb="005A6E4A"/>
      </patternFill>
    </fill>
  </fills>
  <borders count="2">
    <border>
      <left/>
      <right/>
      <top/>
      <bottom/>
      <diagonal/>
    </border>
    <border>
      <left style="thin">
        <color rgb="00C9D6C1"/>
      </left>
      <right style="thin">
        <color rgb="00C9D6C1"/>
      </right>
      <top style="thin">
        <color rgb="00C9D6C1"/>
      </top>
      <bottom style="thin">
        <color rgb="00C9D6C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pivotButton="0" quotePrefix="0" xfId="0"/>
    <xf numFmtId="164" fontId="4" fillId="2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5" borderId="1" pivotButton="0" quotePrefix="0" xfId="0"/>
    <xf numFmtId="164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7" customWidth="1" min="3" max="3"/>
    <col width="15" customWidth="1" min="4" max="4"/>
    <col width="14" customWidth="1" min="5" max="5"/>
    <col width="13" customWidth="1" min="6" max="6"/>
    <col width="34" customWidth="1" min="7" max="7"/>
  </cols>
  <sheetData>
    <row r="1" ht="30" customHeight="1">
      <c r="A1" s="1" t="inlineStr">
        <is>
          <t>ÇİMBOT — Güncel Malzeme Listesi (Bosch güç + TF-Luna algılama)</t>
        </is>
      </c>
    </row>
    <row r="3" ht="26" customHeight="1">
      <c r="A3" s="2" t="inlineStr">
        <is>
          <t>Kategori</t>
        </is>
      </c>
      <c r="B3" s="2" t="inlineStr">
        <is>
          <t>Malzeme</t>
        </is>
      </c>
      <c r="C3" s="2" t="inlineStr">
        <is>
          <t>Adet</t>
        </is>
      </c>
      <c r="D3" s="2" t="inlineStr">
        <is>
          <t>Birim Fiyat (TL)</t>
        </is>
      </c>
      <c r="E3" s="2" t="inlineStr">
        <is>
          <t>Toplam (TL)</t>
        </is>
      </c>
      <c r="F3" s="2" t="inlineStr">
        <is>
          <t>Durum</t>
        </is>
      </c>
      <c r="G3" s="2" t="inlineStr">
        <is>
          <t>Not</t>
        </is>
      </c>
    </row>
    <row r="4">
      <c r="A4" s="3" t="inlineStr">
        <is>
          <t>Kontrol &amp; Elektronik</t>
        </is>
      </c>
      <c r="B4" s="3" t="inlineStr">
        <is>
          <t>ESP32 WiFi+BT (motor + WiFi kontrol)</t>
        </is>
      </c>
      <c r="C4" s="4" t="n">
        <v>1</v>
      </c>
      <c r="D4" s="5" t="n">
        <v>395</v>
      </c>
      <c r="E4" s="5">
        <f>C4*D4</f>
        <v/>
      </c>
      <c r="F4" s="4" t="inlineStr">
        <is>
          <t>Sende var</t>
        </is>
      </c>
      <c r="G4" s="3" t="inlineStr"/>
    </row>
    <row r="5">
      <c r="A5" s="6" t="inlineStr">
        <is>
          <t>Kontrol &amp; Elektronik</t>
        </is>
      </c>
      <c r="B5" s="6" t="inlineStr">
        <is>
          <t>L298N çift motor sürücü (1 kullanılıyor)</t>
        </is>
      </c>
      <c r="C5" s="7" t="n">
        <v>1</v>
      </c>
      <c r="D5" s="8" t="n">
        <v>106</v>
      </c>
      <c r="E5" s="8">
        <f>C5*D5</f>
        <v/>
      </c>
      <c r="F5" s="7" t="inlineStr">
        <is>
          <t>Sende var</t>
        </is>
      </c>
      <c r="G5" s="6" t="inlineStr">
        <is>
          <t>2. si yedek</t>
        </is>
      </c>
    </row>
    <row r="6">
      <c r="A6" s="3" t="inlineStr">
        <is>
          <t>Kontrol &amp; Elektronik</t>
        </is>
      </c>
      <c r="B6" s="3" t="inlineStr">
        <is>
          <t>Jumper / Dupont kablo seti</t>
        </is>
      </c>
      <c r="C6" s="4" t="n">
        <v>1</v>
      </c>
      <c r="D6" s="5" t="n">
        <v>40</v>
      </c>
      <c r="E6" s="5">
        <f>C6*D6</f>
        <v/>
      </c>
      <c r="F6" s="4" t="inlineStr">
        <is>
          <t>Alınacak</t>
        </is>
      </c>
      <c r="G6" s="3" t="inlineStr">
        <is>
          <t>Sinyal bağlantıları</t>
        </is>
      </c>
    </row>
    <row r="7">
      <c r="A7" s="6" t="inlineStr">
        <is>
          <t>Motor &amp; Sürüş</t>
        </is>
      </c>
      <c r="B7" s="6" t="inlineStr">
        <is>
          <t>37mm 200RPM 12V redüktörlü DC motor</t>
        </is>
      </c>
      <c r="C7" s="7" t="n">
        <v>2</v>
      </c>
      <c r="D7" s="8" t="n">
        <v>250</v>
      </c>
      <c r="E7" s="8">
        <f>C7*D7</f>
        <v/>
      </c>
      <c r="F7" s="7" t="inlineStr">
        <is>
          <t>Sende var</t>
        </is>
      </c>
      <c r="G7" s="6" t="inlineStr">
        <is>
          <t>Ön 2 çekiş</t>
        </is>
      </c>
    </row>
    <row r="8">
      <c r="A8" s="3" t="inlineStr">
        <is>
          <t>Motor &amp; Sürüş</t>
        </is>
      </c>
      <c r="B8" s="3" t="inlineStr">
        <is>
          <t>3D baskı tekerlek (ön çekiş)</t>
        </is>
      </c>
      <c r="C8" s="4" t="n">
        <v>2</v>
      </c>
      <c r="D8" s="5" t="n">
        <v>0</v>
      </c>
      <c r="E8" s="5">
        <f>C8*D8</f>
        <v/>
      </c>
      <c r="F8" s="4" t="inlineStr">
        <is>
          <t>3D baskı</t>
        </is>
      </c>
      <c r="G8" s="3" t="inlineStr">
        <is>
          <t>Filamentten</t>
        </is>
      </c>
    </row>
    <row r="9">
      <c r="A9" s="6" t="inlineStr">
        <is>
          <t>Motor &amp; Sürüş</t>
        </is>
      </c>
      <c r="B9" s="6" t="inlineStr">
        <is>
          <t>Arka caster (savrulabilir, 3D + rulman)</t>
        </is>
      </c>
      <c r="C9" s="7" t="n">
        <v>2</v>
      </c>
      <c r="D9" s="8" t="n">
        <v>0</v>
      </c>
      <c r="E9" s="8">
        <f>C9*D9</f>
        <v/>
      </c>
      <c r="F9" s="7" t="inlineStr">
        <is>
          <t>3D baskı</t>
        </is>
      </c>
      <c r="G9" s="6" t="inlineStr">
        <is>
          <t>Dönüş için savrulmalı</t>
        </is>
      </c>
    </row>
    <row r="10">
      <c r="A10" s="3" t="inlineStr">
        <is>
          <t>Motor &amp; Sürüş</t>
        </is>
      </c>
      <c r="B10" s="3" t="inlineStr">
        <is>
          <t>608 rulman (caster + destek)</t>
        </is>
      </c>
      <c r="C10" s="4" t="n">
        <v>6</v>
      </c>
      <c r="D10" s="5" t="n">
        <v>25</v>
      </c>
      <c r="E10" s="5">
        <f>C10*D10</f>
        <v/>
      </c>
      <c r="F10" s="4" t="inlineStr">
        <is>
          <t>Alınacak</t>
        </is>
      </c>
      <c r="G10" s="3" t="inlineStr">
        <is>
          <t>Caster ve boş aks</t>
        </is>
      </c>
    </row>
    <row r="11">
      <c r="A11" s="6" t="inlineStr">
        <is>
          <t>Motor &amp; Sürüş</t>
        </is>
      </c>
      <c r="B11" s="6" t="inlineStr">
        <is>
          <t>Lastik / O-ring (tekerlek tutuş)</t>
        </is>
      </c>
      <c r="C11" s="7" t="n">
        <v>4</v>
      </c>
      <c r="D11" s="8" t="n">
        <v>15</v>
      </c>
      <c r="E11" s="8">
        <f>C11*D11</f>
        <v/>
      </c>
      <c r="F11" s="7" t="inlineStr">
        <is>
          <t>Alınacak</t>
        </is>
      </c>
      <c r="G11" s="6" t="inlineStr">
        <is>
          <t>PLA teker kaygan</t>
        </is>
      </c>
    </row>
    <row r="12">
      <c r="A12" s="3" t="inlineStr">
        <is>
          <t>Kesici Sistem</t>
        </is>
      </c>
      <c r="B12" s="3" t="inlineStr">
        <is>
          <t>RS775 kesici motor 12V-36V</t>
        </is>
      </c>
      <c r="C12" s="4" t="n">
        <v>1</v>
      </c>
      <c r="D12" s="5" t="n">
        <v>380</v>
      </c>
      <c r="E12" s="5">
        <f>C12*D12</f>
        <v/>
      </c>
      <c r="F12" s="4" t="inlineStr">
        <is>
          <t>Sende var</t>
        </is>
      </c>
      <c r="G12" s="3" t="inlineStr">
        <is>
          <t>18V'ta çalışacak</t>
        </is>
      </c>
    </row>
    <row r="13">
      <c r="A13" s="6" t="inlineStr">
        <is>
          <t>Kesici Sistem</t>
        </is>
      </c>
      <c r="B13" s="6" t="inlineStr">
        <is>
          <t>IRLZ44N MOSFET (+1 yedek)</t>
        </is>
      </c>
      <c r="C13" s="7" t="n">
        <v>2</v>
      </c>
      <c r="D13" s="8" t="n">
        <v>20</v>
      </c>
      <c r="E13" s="8">
        <f>C13*D13</f>
        <v/>
      </c>
      <c r="F13" s="7" t="inlineStr">
        <is>
          <t>Sende var</t>
        </is>
      </c>
      <c r="G13" s="6" t="inlineStr">
        <is>
          <t>Kesici sürücü</t>
        </is>
      </c>
    </row>
    <row r="14">
      <c r="A14" s="3" t="inlineStr">
        <is>
          <t>Kesici Sistem</t>
        </is>
      </c>
      <c r="B14" s="3" t="inlineStr">
        <is>
          <t>Gate direnç seti (220Ω + 10kΩ)</t>
        </is>
      </c>
      <c r="C14" s="4" t="n">
        <v>1</v>
      </c>
      <c r="D14" s="5" t="n">
        <v>15</v>
      </c>
      <c r="E14" s="5">
        <f>C14*D14</f>
        <v/>
      </c>
      <c r="F14" s="4" t="inlineStr">
        <is>
          <t>Alınacak</t>
        </is>
      </c>
      <c r="G14" s="3" t="inlineStr">
        <is>
          <t>MOSFET tetik+pull-down</t>
        </is>
      </c>
    </row>
    <row r="15">
      <c r="A15" s="6" t="inlineStr">
        <is>
          <t>Kesici Sistem</t>
        </is>
      </c>
      <c r="B15" s="6" t="inlineStr">
        <is>
          <t>1N5822 Schottky flyback diyot</t>
        </is>
      </c>
      <c r="C15" s="7" t="n">
        <v>2</v>
      </c>
      <c r="D15" s="8" t="n">
        <v>6</v>
      </c>
      <c r="E15" s="8">
        <f>C15*D15</f>
        <v/>
      </c>
      <c r="F15" s="7" t="inlineStr">
        <is>
          <t>Sende var</t>
        </is>
      </c>
      <c r="G15" s="6" t="inlineStr">
        <is>
          <t>Motor koruması</t>
        </is>
      </c>
    </row>
    <row r="16">
      <c r="A16" s="3" t="inlineStr">
        <is>
          <t>Kesici Sistem</t>
        </is>
      </c>
      <c r="B16" s="3" t="inlineStr">
        <is>
          <t>MOSFET soğutucu (TO-220)</t>
        </is>
      </c>
      <c r="C16" s="4" t="n">
        <v>1</v>
      </c>
      <c r="D16" s="5" t="n">
        <v>20</v>
      </c>
      <c r="E16" s="5">
        <f>C16*D16</f>
        <v/>
      </c>
      <c r="F16" s="4" t="inlineStr">
        <is>
          <t>Alınacak</t>
        </is>
      </c>
      <c r="G16" s="3" t="inlineStr">
        <is>
          <t>RS775 akımında ısınır</t>
        </is>
      </c>
    </row>
    <row r="17">
      <c r="A17" s="6" t="inlineStr">
        <is>
          <t>Kesici Sistem</t>
        </is>
      </c>
      <c r="B17" s="6" t="inlineStr">
        <is>
          <t>Kesici mil + misina başlığı</t>
        </is>
      </c>
      <c r="C17" s="7" t="n">
        <v>1</v>
      </c>
      <c r="D17" s="8" t="n">
        <v>80</v>
      </c>
      <c r="E17" s="8">
        <f>C17*D17</f>
        <v/>
      </c>
      <c r="F17" s="7" t="inlineStr">
        <is>
          <t>Alınacak</t>
        </is>
      </c>
      <c r="G17" s="6" t="inlineStr"/>
    </row>
    <row r="18">
      <c r="A18" s="3" t="inlineStr">
        <is>
          <t>Kesici Sistem</t>
        </is>
      </c>
      <c r="B18" s="3" t="inlineStr">
        <is>
          <t>Misina (yedek)</t>
        </is>
      </c>
      <c r="C18" s="4" t="n">
        <v>1</v>
      </c>
      <c r="D18" s="5" t="n">
        <v>30</v>
      </c>
      <c r="E18" s="5">
        <f>C18*D18</f>
        <v/>
      </c>
      <c r="F18" s="4" t="inlineStr">
        <is>
          <t>Alınacak</t>
        </is>
      </c>
      <c r="G18" s="3" t="inlineStr"/>
    </row>
    <row r="19">
      <c r="A19" s="6" t="inlineStr">
        <is>
          <t>Kesici Sistem</t>
        </is>
      </c>
      <c r="B19" s="6" t="inlineStr">
        <is>
          <t>Kondansatör seti (100nF×3 + 1000µF)</t>
        </is>
      </c>
      <c r="C19" s="7" t="n">
        <v>1</v>
      </c>
      <c r="D19" s="8" t="n">
        <v>30</v>
      </c>
      <c r="E19" s="8">
        <f>C19*D19</f>
        <v/>
      </c>
      <c r="F19" s="7" t="inlineStr">
        <is>
          <t>Alınacak</t>
        </is>
      </c>
      <c r="G19" s="6" t="inlineStr">
        <is>
          <t>Motor gürültüsü</t>
        </is>
      </c>
    </row>
    <row r="20">
      <c r="A20" s="3" t="inlineStr">
        <is>
          <t>Algılama</t>
        </is>
      </c>
      <c r="B20" s="3" t="inlineStr">
        <is>
          <t>TF-Luna ToF sensör (ön, servolu tarama)</t>
        </is>
      </c>
      <c r="C20" s="4" t="n">
        <v>1</v>
      </c>
      <c r="D20" s="5" t="n">
        <v>700</v>
      </c>
      <c r="E20" s="5">
        <f>C20*D20</f>
        <v/>
      </c>
      <c r="F20" s="4" t="inlineStr">
        <is>
          <t>Sende var</t>
        </is>
      </c>
      <c r="G20" s="3" t="inlineStr">
        <is>
          <t>GPIO16'ya bağlı</t>
        </is>
      </c>
    </row>
    <row r="21">
      <c r="A21" s="6" t="inlineStr">
        <is>
          <t>Algılama</t>
        </is>
      </c>
      <c r="B21" s="6" t="inlineStr">
        <is>
          <t>180° servo (TF-Luna ön tarama)</t>
        </is>
      </c>
      <c r="C21" s="7" t="n">
        <v>1</v>
      </c>
      <c r="D21" s="8" t="n">
        <v>60</v>
      </c>
      <c r="E21" s="8">
        <f>C21*D21</f>
        <v/>
      </c>
      <c r="F21" s="7" t="inlineStr">
        <is>
          <t>Sende var</t>
        </is>
      </c>
      <c r="G21" s="6" t="inlineStr">
        <is>
          <t>Açı için 180°</t>
        </is>
      </c>
    </row>
    <row r="22">
      <c r="A22" s="3" t="inlineStr">
        <is>
          <t>Algılama</t>
        </is>
      </c>
      <c r="B22" s="3" t="inlineStr">
        <is>
          <t>Ultrasonik HC-SR04 (sol/sağ/arka)</t>
        </is>
      </c>
      <c r="C22" s="4" t="n">
        <v>3</v>
      </c>
      <c r="D22" s="5" t="n">
        <v>40</v>
      </c>
      <c r="E22" s="5">
        <f>C22*D22</f>
        <v/>
      </c>
      <c r="F22" s="4" t="inlineStr">
        <is>
          <t>Sende var</t>
        </is>
      </c>
      <c r="G22" s="3" t="inlineStr">
        <is>
          <t>Yan+arka kapsama</t>
        </is>
      </c>
    </row>
    <row r="23">
      <c r="A23" s="6" t="inlineStr">
        <is>
          <t>Algılama</t>
        </is>
      </c>
      <c r="B23" s="6" t="inlineStr">
        <is>
          <t>Gerilim bölücü direnç (1kΩ+2kΩ, echo için)</t>
        </is>
      </c>
      <c r="C23" s="7" t="n">
        <v>3</v>
      </c>
      <c r="D23" s="8" t="n">
        <v>7</v>
      </c>
      <c r="E23" s="8">
        <f>C23*D23</f>
        <v/>
      </c>
      <c r="F23" s="7" t="inlineStr">
        <is>
          <t>Alınacak</t>
        </is>
      </c>
      <c r="G23" s="6" t="inlineStr">
        <is>
          <t>HC-SR04 5V echo -&gt; 3.3V</t>
        </is>
      </c>
    </row>
    <row r="24">
      <c r="A24" s="3" t="inlineStr">
        <is>
          <t>Algılama</t>
        </is>
      </c>
      <c r="B24" s="3" t="inlineStr">
        <is>
          <t>MPU6050 eğim/ivme sensörü</t>
        </is>
      </c>
      <c r="C24" s="4" t="n">
        <v>1</v>
      </c>
      <c r="D24" s="5" t="n">
        <v>60</v>
      </c>
      <c r="E24" s="5">
        <f>C24*D24</f>
        <v/>
      </c>
      <c r="F24" s="4" t="inlineStr">
        <is>
          <t>Alınacak</t>
        </is>
      </c>
      <c r="G24" s="3" t="inlineStr">
        <is>
          <t>Devrilme -&gt; bıçağı durdur</t>
        </is>
      </c>
    </row>
    <row r="25">
      <c r="A25" s="6" t="inlineStr">
        <is>
          <t>Algılama</t>
        </is>
      </c>
      <c r="B25" s="6" t="inlineStr">
        <is>
          <t>Tampon (bumper) mikro switch</t>
        </is>
      </c>
      <c r="C25" s="7" t="n">
        <v>4</v>
      </c>
      <c r="D25" s="8" t="n">
        <v>10</v>
      </c>
      <c r="E25" s="8">
        <f>C25*D25</f>
        <v/>
      </c>
      <c r="F25" s="7" t="inlineStr">
        <is>
          <t>Alınacak</t>
        </is>
      </c>
      <c r="G25" s="6" t="inlineStr">
        <is>
          <t>Fiziksel çarpışma</t>
        </is>
      </c>
    </row>
    <row r="26">
      <c r="A26" s="3" t="inlineStr">
        <is>
          <t>Güç Sistemi (Bosch)</t>
        </is>
      </c>
      <c r="B26" s="3" t="inlineStr">
        <is>
          <t>Bosch GBA 18V 5.0Ah akü (1600A002U5)</t>
        </is>
      </c>
      <c r="C26" s="4" t="n">
        <v>1</v>
      </c>
      <c r="D26" s="5" t="n">
        <v>3229.81</v>
      </c>
      <c r="E26" s="5">
        <f>C26*D26</f>
        <v/>
      </c>
      <c r="F26" s="4" t="inlineStr">
        <is>
          <t>Alınacak</t>
        </is>
      </c>
      <c r="G26" s="3" t="inlineStr">
        <is>
          <t>Ana güç kaynağı</t>
        </is>
      </c>
    </row>
    <row r="27">
      <c r="A27" s="6" t="inlineStr">
        <is>
          <t>Güç Sistemi (Bosch)</t>
        </is>
      </c>
      <c r="B27" s="6" t="inlineStr">
        <is>
          <t>Bosch GAL 18V-40 şarj cihazı (2607226252)</t>
        </is>
      </c>
      <c r="C27" s="7" t="n">
        <v>1</v>
      </c>
      <c r="D27" s="8" t="n">
        <v>1819.35</v>
      </c>
      <c r="E27" s="8">
        <f>C27*D27</f>
        <v/>
      </c>
      <c r="F27" s="7" t="inlineStr">
        <is>
          <t>Alınacak</t>
        </is>
      </c>
      <c r="G27" s="6" t="inlineStr">
        <is>
          <t>GBA ile uyumlu</t>
        </is>
      </c>
    </row>
    <row r="28">
      <c r="A28" s="3" t="inlineStr">
        <is>
          <t>Güç Sistemi (Bosch)</t>
        </is>
      </c>
      <c r="B28" s="3" t="inlineStr">
        <is>
          <t>6-24V-&gt;5V 3A USB buck (ESP32)</t>
        </is>
      </c>
      <c r="C28" s="4" t="n">
        <v>1</v>
      </c>
      <c r="D28" s="5" t="n">
        <v>220.34</v>
      </c>
      <c r="E28" s="5">
        <f>C28*D28</f>
        <v/>
      </c>
      <c r="F28" s="4" t="inlineStr">
        <is>
          <t>Alınacak</t>
        </is>
      </c>
      <c r="G28" s="3" t="inlineStr">
        <is>
          <t>21V'u kaldırır, sabit 5V</t>
        </is>
      </c>
    </row>
    <row r="29">
      <c r="A29" s="6" t="inlineStr">
        <is>
          <t>Güç Sistemi (Bosch)</t>
        </is>
      </c>
      <c r="B29" s="6" t="inlineStr">
        <is>
          <t>Bosch 18V batarya adaptörü/dock</t>
        </is>
      </c>
      <c r="C29" s="7" t="n">
        <v>1</v>
      </c>
      <c r="D29" s="8" t="n">
        <v>0</v>
      </c>
      <c r="E29" s="8">
        <f>C29*D29</f>
        <v/>
      </c>
      <c r="F29" s="7" t="inlineStr">
        <is>
          <t>3D baskı</t>
        </is>
      </c>
      <c r="G29" s="6" t="inlineStr">
        <is>
          <t>MakerWorld modeli</t>
        </is>
      </c>
    </row>
    <row r="30">
      <c r="A30" s="3" t="inlineStr">
        <is>
          <t>Güç Sistemi (Bosch)</t>
        </is>
      </c>
      <c r="B30" s="3" t="inlineStr">
        <is>
          <t>Metal kontak (bakır şerit/cıvata, adaptör için)</t>
        </is>
      </c>
      <c r="C30" s="4" t="n">
        <v>1</v>
      </c>
      <c r="D30" s="5" t="n">
        <v>30</v>
      </c>
      <c r="E30" s="5">
        <f>C30*D30</f>
        <v/>
      </c>
      <c r="F30" s="4" t="inlineStr">
        <is>
          <t>Alınacak</t>
        </is>
      </c>
      <c r="G30" s="3" t="inlineStr">
        <is>
          <t>RS775 akımı için sağlam kontak</t>
        </is>
      </c>
    </row>
    <row r="31">
      <c r="A31" s="6" t="inlineStr">
        <is>
          <t>Güç Sistemi (Bosch)</t>
        </is>
      </c>
      <c r="B31" s="6" t="inlineStr">
        <is>
          <t>Mini560 buck 18V-&gt;12V (sürüş motorları)</t>
        </is>
      </c>
      <c r="C31" s="7" t="n">
        <v>1</v>
      </c>
      <c r="D31" s="8" t="n">
        <v>167</v>
      </c>
      <c r="E31" s="8">
        <f>C31*D31</f>
        <v/>
      </c>
      <c r="F31" s="7" t="inlineStr">
        <is>
          <t>Sende var</t>
        </is>
      </c>
      <c r="G31" s="6" t="inlineStr">
        <is>
          <t>37mm motorlar 12V</t>
        </is>
      </c>
    </row>
    <row r="32">
      <c r="A32" s="3" t="inlineStr">
        <is>
          <t>Güç Sistemi (Bosch)</t>
        </is>
      </c>
      <c r="B32" s="3" t="inlineStr">
        <is>
          <t>Sigorta ~15-20A + tutucu</t>
        </is>
      </c>
      <c r="C32" s="4" t="n">
        <v>1</v>
      </c>
      <c r="D32" s="5" t="n">
        <v>60</v>
      </c>
      <c r="E32" s="5">
        <f>C32*D32</f>
        <v/>
      </c>
      <c r="F32" s="4" t="inlineStr">
        <is>
          <t>Alınacak</t>
        </is>
      </c>
      <c r="G32" s="3" t="inlineStr">
        <is>
          <t>Kısa devre koruması</t>
        </is>
      </c>
    </row>
    <row r="33">
      <c r="A33" s="6" t="inlineStr">
        <is>
          <t>Güç Sistemi (Bosch)</t>
        </is>
      </c>
      <c r="B33" s="6" t="inlineStr">
        <is>
          <t>Ana açma/kapama anahtarı</t>
        </is>
      </c>
      <c r="C33" s="7" t="n">
        <v>1</v>
      </c>
      <c r="D33" s="8" t="n">
        <v>30</v>
      </c>
      <c r="E33" s="8">
        <f>C33*D33</f>
        <v/>
      </c>
      <c r="F33" s="7" t="inlineStr">
        <is>
          <t>Alınacak</t>
        </is>
      </c>
      <c r="G33" s="6" t="inlineStr"/>
    </row>
    <row r="34">
      <c r="A34" s="3" t="inlineStr">
        <is>
          <t>Güç Sistemi (Bosch)</t>
        </is>
      </c>
      <c r="B34" s="3" t="inlineStr">
        <is>
          <t>Kalın silikon güç kablosu</t>
        </is>
      </c>
      <c r="C34" s="4" t="n">
        <v>1</v>
      </c>
      <c r="D34" s="5" t="n">
        <v>150</v>
      </c>
      <c r="E34" s="5">
        <f>C34*D34</f>
        <v/>
      </c>
      <c r="F34" s="4" t="inlineStr">
        <is>
          <t>Alınacak</t>
        </is>
      </c>
      <c r="G34" s="3" t="inlineStr">
        <is>
          <t>Yüksek akım hattı</t>
        </is>
      </c>
    </row>
    <row r="35">
      <c r="A35" s="6" t="inlineStr">
        <is>
          <t>Mekanik / 3D Baskı</t>
        </is>
      </c>
      <c r="B35" s="6" t="inlineStr">
        <is>
          <t>3D filament (şase, tutucu, teker, kasnak vb.)</t>
        </is>
      </c>
      <c r="C35" s="7" t="n">
        <v>1</v>
      </c>
      <c r="D35" s="8" t="n">
        <v>300</v>
      </c>
      <c r="E35" s="8">
        <f>C35*D35</f>
        <v/>
      </c>
      <c r="F35" s="7" t="inlineStr">
        <is>
          <t>Alınacak</t>
        </is>
      </c>
      <c r="G35" s="6" t="inlineStr">
        <is>
          <t>1 makara</t>
        </is>
      </c>
    </row>
    <row r="36">
      <c r="A36" s="3" t="inlineStr">
        <is>
          <t>Mekanik / 3D Baskı</t>
        </is>
      </c>
      <c r="B36" s="3" t="inlineStr">
        <is>
          <t>Montaj seti (vida/somun/braket)</t>
        </is>
      </c>
      <c r="C36" s="4" t="n">
        <v>1</v>
      </c>
      <c r="D36" s="5" t="n">
        <v>100</v>
      </c>
      <c r="E36" s="5">
        <f>C36*D36</f>
        <v/>
      </c>
      <c r="F36" s="4" t="inlineStr">
        <is>
          <t>Alınacak</t>
        </is>
      </c>
      <c r="G36" s="3" t="inlineStr"/>
    </row>
    <row r="37">
      <c r="A37" s="6" t="inlineStr">
        <is>
          <t>Montaj &amp; Sarf</t>
        </is>
      </c>
      <c r="B37" s="6" t="inlineStr">
        <is>
          <t>Delikli pertinaks / perfboard (kalıcı lehim)</t>
        </is>
      </c>
      <c r="C37" s="7" t="n">
        <v>1</v>
      </c>
      <c r="D37" s="8" t="n">
        <v>40</v>
      </c>
      <c r="E37" s="8">
        <f>C37*D37</f>
        <v/>
      </c>
      <c r="F37" s="7" t="inlineStr">
        <is>
          <t>Alınacak</t>
        </is>
      </c>
      <c r="G37" s="6" t="inlineStr">
        <is>
          <t>Breadboard yerine kalıcı bağlantı</t>
        </is>
      </c>
    </row>
    <row r="38">
      <c r="A38" s="3" t="inlineStr">
        <is>
          <t>Montaj &amp; Sarf</t>
        </is>
      </c>
      <c r="B38" s="3" t="inlineStr">
        <is>
          <t>Makaron (heat shrink) + izole bant</t>
        </is>
      </c>
      <c r="C38" s="4" t="n">
        <v>1</v>
      </c>
      <c r="D38" s="5" t="n">
        <v>30</v>
      </c>
      <c r="E38" s="5">
        <f>C38*D38</f>
        <v/>
      </c>
      <c r="F38" s="4" t="inlineStr">
        <is>
          <t>Alınacak</t>
        </is>
      </c>
      <c r="G38" s="3" t="inlineStr">
        <is>
          <t>Bağlantı izolasyonu</t>
        </is>
      </c>
    </row>
    <row r="39">
      <c r="A39" s="6" t="inlineStr">
        <is>
          <t>Montaj &amp; Sarf</t>
        </is>
      </c>
      <c r="B39" s="6" t="inlineStr">
        <is>
          <t>Kablo bağı / spiral (kablo düzeni)</t>
        </is>
      </c>
      <c r="C39" s="7" t="n">
        <v>1</v>
      </c>
      <c r="D39" s="8" t="n">
        <v>30</v>
      </c>
      <c r="E39" s="8">
        <f>C39*D39</f>
        <v/>
      </c>
      <c r="F39" s="7" t="inlineStr">
        <is>
          <t>Alınacak</t>
        </is>
      </c>
      <c r="G39" s="6" t="inlineStr">
        <is>
          <t>Tekerlek/bıçağa takılmasın</t>
        </is>
      </c>
    </row>
    <row r="40">
      <c r="A40" s="3" t="inlineStr">
        <is>
          <t>Montaj &amp; Sarf</t>
        </is>
      </c>
      <c r="B40" s="3" t="inlineStr">
        <is>
          <t>Acil stop butonu (mantar buton)</t>
        </is>
      </c>
      <c r="C40" s="4" t="n">
        <v>1</v>
      </c>
      <c r="D40" s="5" t="n">
        <v>60</v>
      </c>
      <c r="E40" s="5">
        <f>C40*D40</f>
        <v/>
      </c>
      <c r="F40" s="4" t="inlineStr">
        <is>
          <t>Alınacak</t>
        </is>
      </c>
      <c r="G40" s="3" t="inlineStr">
        <is>
          <t>Güvenlik - kesici için</t>
        </is>
      </c>
    </row>
    <row r="41">
      <c r="A41" s="6" t="inlineStr">
        <is>
          <t>Montaj &amp; Sarf</t>
        </is>
      </c>
      <c r="B41" s="6" t="inlineStr">
        <is>
          <t>Klemens / konnektör seti (güç bağlantısı)</t>
        </is>
      </c>
      <c r="C41" s="7" t="n">
        <v>1</v>
      </c>
      <c r="D41" s="8" t="n">
        <v>50</v>
      </c>
      <c r="E41" s="8">
        <f>C41*D41</f>
        <v/>
      </c>
      <c r="F41" s="7" t="inlineStr">
        <is>
          <t>Alınacak</t>
        </is>
      </c>
      <c r="G41" s="6" t="inlineStr">
        <is>
          <t>Kolay sökülür güç bağlantısı</t>
        </is>
      </c>
    </row>
    <row r="42">
      <c r="A42" s="3" t="inlineStr">
        <is>
          <t>Montaj &amp; Sarf</t>
        </is>
      </c>
      <c r="B42" s="3" t="inlineStr">
        <is>
          <t>Lehim teli</t>
        </is>
      </c>
      <c r="C42" s="4" t="n">
        <v>1</v>
      </c>
      <c r="D42" s="5" t="n">
        <v>40</v>
      </c>
      <c r="E42" s="5">
        <f>C42*D42</f>
        <v/>
      </c>
      <c r="F42" s="4" t="inlineStr">
        <is>
          <t>Alınacak</t>
        </is>
      </c>
      <c r="G42" s="3" t="inlineStr">
        <is>
          <t>Havya sende varsa</t>
        </is>
      </c>
    </row>
    <row r="43">
      <c r="A43" s="6" t="inlineStr">
        <is>
          <t>Montaj &amp; Sarf</t>
        </is>
      </c>
      <c r="B43" s="6" t="inlineStr">
        <is>
          <t>Set vidası (grub screw, teker-mil)</t>
        </is>
      </c>
      <c r="C43" s="7" t="n">
        <v>1</v>
      </c>
      <c r="D43" s="8" t="n">
        <v>15</v>
      </c>
      <c r="E43" s="8">
        <f>C43*D43</f>
        <v/>
      </c>
      <c r="F43" s="7" t="inlineStr">
        <is>
          <t>Alınacak</t>
        </is>
      </c>
      <c r="G43" s="6" t="inlineStr">
        <is>
          <t>Teker milde boşa dönmesin</t>
        </is>
      </c>
    </row>
    <row r="44">
      <c r="A44" s="9" t="n"/>
      <c r="B44" s="10" t="inlineStr">
        <is>
          <t>LİSTE TOPLAMI (her şey dahil)</t>
        </is>
      </c>
      <c r="C44" s="9" t="n"/>
      <c r="D44" s="9" t="n"/>
      <c r="E44" s="11">
        <f>SUM(E4:E43)</f>
        <v/>
      </c>
      <c r="F44" s="9" t="n"/>
      <c r="G44" s="9" t="n"/>
    </row>
    <row r="45">
      <c r="A45" s="12" t="n"/>
      <c r="B45" s="13" t="inlineStr">
        <is>
          <t>ALINACAK TOPLAM (sende olanlar/3D hariç)</t>
        </is>
      </c>
      <c r="C45" s="12" t="n"/>
      <c r="D45" s="12" t="n"/>
      <c r="E45" s="14">
        <f>SUMIF(F4:F43,"Alınacak",E4:E43)</f>
        <v/>
      </c>
      <c r="F45" s="12" t="n"/>
      <c r="G45" s="12" t="n"/>
    </row>
    <row r="47">
      <c r="B47" s="15" t="inlineStr">
        <is>
          <t>Not: "Alındı" = Bosch akü+şarj+USB buck sipariş edildi. Bosch adaptörü ve tüm gövde 3D basılacak. Bosch fiyatları gerçek; küçük parçalar tahmini.</t>
        </is>
      </c>
    </row>
  </sheetData>
  <mergeCells count="1">
    <mergeCell ref="A1:G1"/>
  </mergeCells>
  <dataValidations count="1">
    <dataValidation sqref="F4:F43" showDropDown="0" showInputMessage="0" showErrorMessage="0" allowBlank="1" type="list">
      <formula1>"Sende var,Alınacak,3D baskı"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2026-09-18T16:10:31Z</dcterms:created>
  <dcterms:modified xmlns:dcterms="http://purl.org/dc/terms/" xmlns:xsi="http://www.w3.org/2001/XMLSchema-instance" xsi:type="dcterms:W3CDTF">2026-09-18T16:15:13Z</dcterms:modified>
</cp:coreProperties>
</file>