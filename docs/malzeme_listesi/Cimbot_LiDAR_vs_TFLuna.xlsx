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DAR + Pi 5" sheetId="1" state="visible" r:id="rId3"/>
    <sheet name="TF-Luna + ESP3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<sst xmlns="http://schemas.openxmlformats.org/spreadsheetml/2006/main" count="228" uniqueCount="71">
  <si>
    <t xml:space="preserve">VERSİYON 1 — LiDAR + Raspberry Pi 5 (Premium Algılama)</t>
  </si>
  <si>
    <t xml:space="preserve">Kategori</t>
  </si>
  <si>
    <t xml:space="preserve">Malzeme</t>
  </si>
  <si>
    <t xml:space="preserve">Adet</t>
  </si>
  <si>
    <t xml:space="preserve">Birim Fiyat (TL)</t>
  </si>
  <si>
    <t xml:space="preserve">Toplam (TL)</t>
  </si>
  <si>
    <t xml:space="preserve">Durum</t>
  </si>
  <si>
    <t xml:space="preserve">Not</t>
  </si>
  <si>
    <t xml:space="preserve">Kontrol &amp; Elektronik</t>
  </si>
  <si>
    <t xml:space="preserve">ESP32 WiFi+BT (motor kontrol)</t>
  </si>
  <si>
    <t xml:space="preserve">Alınacak</t>
  </si>
  <si>
    <t xml:space="preserve">Sende varsa: Sende var</t>
  </si>
  <si>
    <t xml:space="preserve">L298N çift motor sürücü</t>
  </si>
  <si>
    <t xml:space="preserve">IRLZ44N MOSFET (+1 yedek)</t>
  </si>
  <si>
    <t xml:space="preserve">Çıplak; gate direnci gerekir</t>
  </si>
  <si>
    <t xml:space="preserve">Gate direnç seti (220Ω+10kΩ)</t>
  </si>
  <si>
    <t xml:space="preserve">1N5822 Schottky flyback diyot</t>
  </si>
  <si>
    <t xml:space="preserve">Kondansatör seti (100nF×3+1000µF)</t>
  </si>
  <si>
    <t xml:space="preserve">Jumper / Dupont kablo seti</t>
  </si>
  <si>
    <t xml:space="preserve">Beyin &amp; Algılama</t>
  </si>
  <si>
    <t xml:space="preserve">Raspberry Pi 5 (4GB)</t>
  </si>
  <si>
    <t xml:space="preserve">Sende var</t>
  </si>
  <si>
    <t xml:space="preserve">Algılama/karar beyni</t>
  </si>
  <si>
    <t xml:space="preserve">Pi 5 aktif soğutucu</t>
  </si>
  <si>
    <t xml:space="preserve">Pi 5 ısınır, şart</t>
  </si>
  <si>
    <t xml:space="preserve">microSD 32GB (A2)</t>
  </si>
  <si>
    <t xml:space="preserve">İşletim sistemi</t>
  </si>
  <si>
    <t xml:space="preserve">5V 5A DC-DC buck (Pi beslemesi)</t>
  </si>
  <si>
    <t xml:space="preserve">Bataryadan Pi'yı besler</t>
  </si>
  <si>
    <t xml:space="preserve">RPLidar C1 2D LiDAR</t>
  </si>
  <si>
    <t xml:space="preserve">360° engel algılama</t>
  </si>
  <si>
    <t xml:space="preserve">Kamera (opsiyonel)</t>
  </si>
  <si>
    <t xml:space="preserve">İleride tanıma/kayıt</t>
  </si>
  <si>
    <t xml:space="preserve">Motor &amp; Sürüş</t>
  </si>
  <si>
    <t xml:space="preserve">Sürüş motoru 37mm 200RPM 12V</t>
  </si>
  <si>
    <t xml:space="preserve">Elinde 2 adet varsa: Sende var</t>
  </si>
  <si>
    <t xml:space="preserve">RS775 kesici motor 12V</t>
  </si>
  <si>
    <t xml:space="preserve">Çim biçme</t>
  </si>
  <si>
    <t xml:space="preserve">Tekerlek (motor uyumlu)</t>
  </si>
  <si>
    <t xml:space="preserve">Serbest denge tekeri (caster)</t>
  </si>
  <si>
    <t xml:space="preserve">Güç Sistemi</t>
  </si>
  <si>
    <t xml:space="preserve">Matkap bataryası 18V 5Ah + şarj</t>
  </si>
  <si>
    <t xml:space="preserve">18V(5S) teyit et</t>
  </si>
  <si>
    <t xml:space="preserve">Batarya adaptör/yuvası</t>
  </si>
  <si>
    <t xml:space="preserve">Mini560 buck 18V→12V 4A</t>
  </si>
  <si>
    <t xml:space="preserve">Sürüş motorları</t>
  </si>
  <si>
    <t xml:space="preserve">Buck →5V 3A (ESP32)</t>
  </si>
  <si>
    <t xml:space="preserve">30A ANL sigorta</t>
  </si>
  <si>
    <t xml:space="preserve">ANL sigorta yuvası</t>
  </si>
  <si>
    <t xml:space="preserve">Ana açma/kapama anahtarı</t>
  </si>
  <si>
    <t xml:space="preserve">1.5mm² silikon kablo (m)</t>
  </si>
  <si>
    <t xml:space="preserve">Kırmızı+siyah</t>
  </si>
  <si>
    <t xml:space="preserve">Güvenlik</t>
  </si>
  <si>
    <t xml:space="preserve">MPU6050 eğim/ivme sensörü</t>
  </si>
  <si>
    <t xml:space="preserve">Devrilme/kaldırma koruması</t>
  </si>
  <si>
    <t xml:space="preserve">Tampon (bumper) mikro switch</t>
  </si>
  <si>
    <t xml:space="preserve">Fiziksel çarpışma</t>
  </si>
  <si>
    <t xml:space="preserve">Mekanik/Gövde</t>
  </si>
  <si>
    <t xml:space="preserve">Şase (akrilik/kontrplak/3D PETG)</t>
  </si>
  <si>
    <t xml:space="preserve">~50 cm</t>
  </si>
  <si>
    <t xml:space="preserve">MOSFET soğutucu (TO-220)</t>
  </si>
  <si>
    <t xml:space="preserve">Kesici mil + misina başlığı</t>
  </si>
  <si>
    <t xml:space="preserve">Misina (yedek)</t>
  </si>
  <si>
    <t xml:space="preserve">Montaj seti (vida/braket/3D tutucu)</t>
  </si>
  <si>
    <t xml:space="preserve">LİSTE TOPLAMI</t>
  </si>
  <si>
    <t xml:space="preserve">ALINACAK TOPLAM (sende olanlar hariç)</t>
  </si>
  <si>
    <t xml:space="preserve">VERSİYON 2 — TF-Luna + ESP32 (Bütçe Algılama)</t>
  </si>
  <si>
    <t xml:space="preserve">TF-Luna ToF mesafe sensörü</t>
  </si>
  <si>
    <t xml:space="preserve">Öne bakan engel algılama</t>
  </si>
  <si>
    <t xml:space="preserve">Ultrasonik HC-SR04 (yan kapsama, ops.)</t>
  </si>
  <si>
    <t xml:space="preserve">Yan kör nokta için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</si>
</sst>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TL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5F2D"/>
        <bgColor rgb="FF5A6E4A"/>
      </patternFill>
    </fill>
    <fill>
      <patternFill patternType="solid">
        <fgColor rgb="FFFFFFFF"/>
        <bgColor rgb="FFF5F7F1"/>
      </patternFill>
    </fill>
    <fill>
      <patternFill patternType="solid">
        <fgColor rgb="FFF5F7F1"/>
        <bgColor rgb="FFFFFFFF"/>
      </patternFill>
    </fill>
    <fill>
      <patternFill patternType="solid">
        <fgColor rgb="FF5A6E4A"/>
        <bgColor rgb="FF2C5F2D"/>
      </patternFill>
    </fill>
    <fill>
      <patternFill patternType="solid">
        <fgColor rgb="FF1E3A5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1"/>
      </left>
      <right style="thin">
        <color rgb="FFC9D6C1"/>
      </right>
      <top style="thin">
        <color rgb="FFC9D6C1"/>
      </top>
      <bottom style="thin">
        <color rgb="FFC9D6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1"/>
      <rgbColor rgb="FF808080"/>
      <rgbColor rgb="FF9999FF"/>
      <rgbColor rgb="FF993366"/>
      <rgbColor rgb="FFF5F7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E4A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4" t="n">
        <v>1</v>
      </c>
      <c r="D4" s="5" t="n">
        <v>395</v>
      </c>
      <c r="E4" s="5" t="n">
        <f aca="false">C4*D4</f>
        <v>395</v>
      </c>
      <c r="F4" s="4" t="s">
        <v>10</v>
      </c>
      <c r="G4" s="3" t="s">
        <v>11</v>
      </c>
    </row>
    <row r="5" customFormat="false" ht="15" hidden="false" customHeight="false" outlineLevel="0" collapsed="false">
      <c r="A5" s="6" t="s">
        <v>8</v>
      </c>
      <c r="B5" s="6" t="s">
        <v>12</v>
      </c>
      <c r="C5" s="7" t="n">
        <v>1</v>
      </c>
      <c r="D5" s="8" t="n">
        <v>106</v>
      </c>
      <c r="E5" s="8" t="n">
        <f aca="false">C5*D5</f>
        <v>106</v>
      </c>
      <c r="F5" s="7" t="s">
        <v>10</v>
      </c>
      <c r="G5" s="6"/>
    </row>
    <row r="6" customFormat="false" ht="15" hidden="false" customHeight="false" outlineLevel="0" collapsed="false">
      <c r="A6" s="3" t="s">
        <v>8</v>
      </c>
      <c r="B6" s="3" t="s">
        <v>13</v>
      </c>
      <c r="C6" s="4" t="n">
        <v>2</v>
      </c>
      <c r="D6" s="5" t="n">
        <v>20</v>
      </c>
      <c r="E6" s="5" t="n">
        <f aca="false">C6*D6</f>
        <v>40</v>
      </c>
      <c r="F6" s="4" t="s">
        <v>10</v>
      </c>
      <c r="G6" s="3" t="s">
        <v>14</v>
      </c>
    </row>
    <row r="7" customFormat="false" ht="15" hidden="false" customHeight="false" outlineLevel="0" collapsed="false">
      <c r="A7" s="6" t="s">
        <v>8</v>
      </c>
      <c r="B7" s="6" t="s">
        <v>15</v>
      </c>
      <c r="C7" s="7" t="n">
        <v>1</v>
      </c>
      <c r="D7" s="8" t="n">
        <v>15</v>
      </c>
      <c r="E7" s="8" t="n">
        <f aca="false">C7*D7</f>
        <v>15</v>
      </c>
      <c r="F7" s="7" t="s">
        <v>10</v>
      </c>
      <c r="G7" s="6"/>
    </row>
    <row r="8" customFormat="false" ht="15" hidden="false" customHeight="false" outlineLevel="0" collapsed="false">
      <c r="A8" s="3" t="s">
        <v>8</v>
      </c>
      <c r="B8" s="3" t="s">
        <v>16</v>
      </c>
      <c r="C8" s="4" t="n">
        <v>2</v>
      </c>
      <c r="D8" s="5" t="n">
        <v>6</v>
      </c>
      <c r="E8" s="5" t="n">
        <f aca="false">C8*D8</f>
        <v>12</v>
      </c>
      <c r="F8" s="4" t="s">
        <v>10</v>
      </c>
      <c r="G8" s="3"/>
    </row>
    <row r="9" customFormat="false" ht="15" hidden="false" customHeight="false" outlineLevel="0" collapsed="false">
      <c r="A9" s="6" t="s">
        <v>8</v>
      </c>
      <c r="B9" s="6" t="s">
        <v>17</v>
      </c>
      <c r="C9" s="7" t="n">
        <v>1</v>
      </c>
      <c r="D9" s="8" t="n">
        <v>30</v>
      </c>
      <c r="E9" s="8" t="n">
        <f aca="false">C9*D9</f>
        <v>30</v>
      </c>
      <c r="F9" s="7" t="s">
        <v>10</v>
      </c>
      <c r="G9" s="6"/>
    </row>
    <row r="10" customFormat="false" ht="15" hidden="false" customHeight="false" outlineLevel="0" collapsed="false">
      <c r="A10" s="3" t="s">
        <v>8</v>
      </c>
      <c r="B10" s="3" t="s">
        <v>18</v>
      </c>
      <c r="C10" s="4" t="n">
        <v>1</v>
      </c>
      <c r="D10" s="5" t="n">
        <v>40</v>
      </c>
      <c r="E10" s="5" t="n">
        <f aca="false">C10*D10</f>
        <v>40</v>
      </c>
      <c r="F10" s="4" t="s">
        <v>10</v>
      </c>
      <c r="G10" s="3"/>
    </row>
    <row r="11" customFormat="false" ht="15" hidden="false" customHeight="false" outlineLevel="0" collapsed="false">
      <c r="A11" s="6" t="s">
        <v>19</v>
      </c>
      <c r="B11" s="6" t="s">
        <v>20</v>
      </c>
      <c r="C11" s="7" t="n">
        <v>1</v>
      </c>
      <c r="D11" s="8" t="n">
        <v>5000</v>
      </c>
      <c r="E11" s="8" t="n">
        <f aca="false">C11*D11</f>
        <v>5000</v>
      </c>
      <c r="F11" s="7" t="s">
        <v>21</v>
      </c>
      <c r="G11" s="6" t="s">
        <v>22</v>
      </c>
    </row>
    <row r="12" customFormat="false" ht="15" hidden="false" customHeight="false" outlineLevel="0" collapsed="false">
      <c r="A12" s="3" t="s">
        <v>19</v>
      </c>
      <c r="B12" s="3" t="s">
        <v>23</v>
      </c>
      <c r="C12" s="4" t="n">
        <v>1</v>
      </c>
      <c r="D12" s="5" t="n">
        <v>500</v>
      </c>
      <c r="E12" s="5" t="n">
        <f aca="false">C12*D12</f>
        <v>500</v>
      </c>
      <c r="F12" s="4" t="s">
        <v>10</v>
      </c>
      <c r="G12" s="3" t="s">
        <v>24</v>
      </c>
    </row>
    <row r="13" customFormat="false" ht="15" hidden="false" customHeight="false" outlineLevel="0" collapsed="false">
      <c r="A13" s="6" t="s">
        <v>19</v>
      </c>
      <c r="B13" s="6" t="s">
        <v>25</v>
      </c>
      <c r="C13" s="7" t="n">
        <v>1</v>
      </c>
      <c r="D13" s="8" t="n">
        <v>250</v>
      </c>
      <c r="E13" s="8" t="n">
        <f aca="false">C13*D13</f>
        <v>250</v>
      </c>
      <c r="F13" s="7" t="s">
        <v>10</v>
      </c>
      <c r="G13" s="6" t="s">
        <v>26</v>
      </c>
    </row>
    <row r="14" customFormat="false" ht="15" hidden="false" customHeight="false" outlineLevel="0" collapsed="false">
      <c r="A14" s="3" t="s">
        <v>19</v>
      </c>
      <c r="B14" s="3" t="s">
        <v>27</v>
      </c>
      <c r="C14" s="4" t="n">
        <v>1</v>
      </c>
      <c r="D14" s="5" t="n">
        <v>200</v>
      </c>
      <c r="E14" s="5" t="n">
        <f aca="false">C14*D14</f>
        <v>200</v>
      </c>
      <c r="F14" s="4" t="s">
        <v>10</v>
      </c>
      <c r="G14" s="3" t="s">
        <v>28</v>
      </c>
    </row>
    <row r="15" customFormat="false" ht="15" hidden="false" customHeight="false" outlineLevel="0" collapsed="false">
      <c r="A15" s="6" t="s">
        <v>19</v>
      </c>
      <c r="B15" s="6" t="s">
        <v>29</v>
      </c>
      <c r="C15" s="7" t="n">
        <v>1</v>
      </c>
      <c r="D15" s="8" t="n">
        <v>4000</v>
      </c>
      <c r="E15" s="8" t="n">
        <f aca="false">C15*D15</f>
        <v>4000</v>
      </c>
      <c r="F15" s="7" t="s">
        <v>10</v>
      </c>
      <c r="G15" s="6" t="s">
        <v>30</v>
      </c>
    </row>
    <row r="16" customFormat="false" ht="15" hidden="false" customHeight="false" outlineLevel="0" collapsed="false">
      <c r="A16" s="3" t="s">
        <v>19</v>
      </c>
      <c r="B16" s="3" t="s">
        <v>31</v>
      </c>
      <c r="C16" s="4" t="n">
        <v>1</v>
      </c>
      <c r="D16" s="5" t="n">
        <v>0</v>
      </c>
      <c r="E16" s="5" t="n">
        <f aca="false">C16*D16</f>
        <v>0</v>
      </c>
      <c r="F16" s="4" t="s">
        <v>21</v>
      </c>
      <c r="G16" s="3" t="s">
        <v>32</v>
      </c>
    </row>
    <row r="17" customFormat="false" ht="15" hidden="false" customHeight="false" outlineLevel="0" collapsed="false">
      <c r="A17" s="6" t="s">
        <v>33</v>
      </c>
      <c r="B17" s="6" t="s">
        <v>34</v>
      </c>
      <c r="C17" s="7" t="n">
        <v>2</v>
      </c>
      <c r="D17" s="8" t="n">
        <v>250</v>
      </c>
      <c r="E17" s="8" t="n">
        <f aca="false">C17*D17</f>
        <v>500</v>
      </c>
      <c r="F17" s="7" t="s">
        <v>10</v>
      </c>
      <c r="G17" s="6" t="s">
        <v>35</v>
      </c>
    </row>
    <row r="18" customFormat="false" ht="15" hidden="false" customHeight="false" outlineLevel="0" collapsed="false">
      <c r="A18" s="3" t="s">
        <v>33</v>
      </c>
      <c r="B18" s="3" t="s">
        <v>36</v>
      </c>
      <c r="C18" s="4" t="n">
        <v>1</v>
      </c>
      <c r="D18" s="5" t="n">
        <v>380</v>
      </c>
      <c r="E18" s="5" t="n">
        <f aca="false">C18*D18</f>
        <v>380</v>
      </c>
      <c r="F18" s="4" t="s">
        <v>10</v>
      </c>
      <c r="G18" s="3" t="s">
        <v>37</v>
      </c>
    </row>
    <row r="19" customFormat="false" ht="15" hidden="false" customHeight="false" outlineLevel="0" collapsed="false">
      <c r="A19" s="6" t="s">
        <v>33</v>
      </c>
      <c r="B19" s="6" t="s">
        <v>38</v>
      </c>
      <c r="C19" s="7" t="n">
        <v>2</v>
      </c>
      <c r="D19" s="8" t="n">
        <v>80</v>
      </c>
      <c r="E19" s="8" t="n">
        <f aca="false">C19*D19</f>
        <v>160</v>
      </c>
      <c r="F19" s="7" t="s">
        <v>10</v>
      </c>
      <c r="G19" s="6"/>
    </row>
    <row r="20" customFormat="false" ht="15" hidden="false" customHeight="false" outlineLevel="0" collapsed="false">
      <c r="A20" s="3" t="s">
        <v>33</v>
      </c>
      <c r="B20" s="3" t="s">
        <v>39</v>
      </c>
      <c r="C20" s="4" t="n">
        <v>1</v>
      </c>
      <c r="D20" s="5" t="n">
        <v>50</v>
      </c>
      <c r="E20" s="5" t="n">
        <f aca="false">C20*D20</f>
        <v>50</v>
      </c>
      <c r="F20" s="4" t="s">
        <v>10</v>
      </c>
      <c r="G20" s="3"/>
    </row>
    <row r="21" customFormat="false" ht="15" hidden="false" customHeight="false" outlineLevel="0" collapsed="false">
      <c r="A21" s="6" t="s">
        <v>40</v>
      </c>
      <c r="B21" s="6" t="s">
        <v>41</v>
      </c>
      <c r="C21" s="7" t="n">
        <v>1</v>
      </c>
      <c r="D21" s="8" t="n">
        <v>1090</v>
      </c>
      <c r="E21" s="8" t="n">
        <f aca="false">C21*D21</f>
        <v>1090</v>
      </c>
      <c r="F21" s="7" t="s">
        <v>10</v>
      </c>
      <c r="G21" s="6" t="s">
        <v>42</v>
      </c>
    </row>
    <row r="22" customFormat="false" ht="15" hidden="false" customHeight="false" outlineLevel="0" collapsed="false">
      <c r="A22" s="3" t="s">
        <v>40</v>
      </c>
      <c r="B22" s="3" t="s">
        <v>43</v>
      </c>
      <c r="C22" s="4" t="n">
        <v>1</v>
      </c>
      <c r="D22" s="5" t="n">
        <v>150</v>
      </c>
      <c r="E22" s="5" t="n">
        <f aca="false">C22*D22</f>
        <v>150</v>
      </c>
      <c r="F22" s="4" t="s">
        <v>10</v>
      </c>
      <c r="G22" s="3"/>
    </row>
    <row r="23" customFormat="false" ht="15" hidden="false" customHeight="false" outlineLevel="0" collapsed="false">
      <c r="A23" s="6" t="s">
        <v>40</v>
      </c>
      <c r="B23" s="6" t="s">
        <v>44</v>
      </c>
      <c r="C23" s="7" t="n">
        <v>1</v>
      </c>
      <c r="D23" s="8" t="n">
        <v>167</v>
      </c>
      <c r="E23" s="8" t="n">
        <f aca="false">C23*D23</f>
        <v>167</v>
      </c>
      <c r="F23" s="7" t="s">
        <v>10</v>
      </c>
      <c r="G23" s="6" t="s">
        <v>45</v>
      </c>
    </row>
    <row r="24" customFormat="false" ht="15" hidden="false" customHeight="false" outlineLevel="0" collapsed="false">
      <c r="A24" s="3" t="s">
        <v>40</v>
      </c>
      <c r="B24" s="3" t="s">
        <v>46</v>
      </c>
      <c r="C24" s="4" t="n">
        <v>1</v>
      </c>
      <c r="D24" s="5" t="n">
        <v>53</v>
      </c>
      <c r="E24" s="5" t="n">
        <f aca="false">C24*D24</f>
        <v>53</v>
      </c>
      <c r="F24" s="4" t="s">
        <v>10</v>
      </c>
      <c r="G24" s="3"/>
    </row>
    <row r="25" customFormat="false" ht="15" hidden="false" customHeight="false" outlineLevel="0" collapsed="false">
      <c r="A25" s="6" t="s">
        <v>40</v>
      </c>
      <c r="B25" s="6" t="s">
        <v>47</v>
      </c>
      <c r="C25" s="7" t="n">
        <v>1</v>
      </c>
      <c r="D25" s="8" t="n">
        <v>26</v>
      </c>
      <c r="E25" s="8" t="n">
        <f aca="false">C25*D25</f>
        <v>26</v>
      </c>
      <c r="F25" s="7" t="s">
        <v>10</v>
      </c>
      <c r="G25" s="6"/>
    </row>
    <row r="26" customFormat="false" ht="15" hidden="false" customHeight="false" outlineLevel="0" collapsed="false">
      <c r="A26" s="3" t="s">
        <v>40</v>
      </c>
      <c r="B26" s="3" t="s">
        <v>48</v>
      </c>
      <c r="C26" s="4" t="n">
        <v>1</v>
      </c>
      <c r="D26" s="5" t="n">
        <v>50</v>
      </c>
      <c r="E26" s="5" t="n">
        <f aca="false">C26*D26</f>
        <v>50</v>
      </c>
      <c r="F26" s="4" t="s">
        <v>10</v>
      </c>
      <c r="G26" s="3"/>
    </row>
    <row r="27" customFormat="false" ht="15" hidden="false" customHeight="false" outlineLevel="0" collapsed="false">
      <c r="A27" s="6" t="s">
        <v>40</v>
      </c>
      <c r="B27" s="6" t="s">
        <v>49</v>
      </c>
      <c r="C27" s="7" t="n">
        <v>1</v>
      </c>
      <c r="D27" s="8" t="n">
        <v>30</v>
      </c>
      <c r="E27" s="8" t="n">
        <f aca="false">C27*D27</f>
        <v>30</v>
      </c>
      <c r="F27" s="7" t="s">
        <v>10</v>
      </c>
      <c r="G27" s="6"/>
    </row>
    <row r="28" customFormat="false" ht="15" hidden="false" customHeight="false" outlineLevel="0" collapsed="false">
      <c r="A28" s="3" t="s">
        <v>40</v>
      </c>
      <c r="B28" s="3" t="s">
        <v>50</v>
      </c>
      <c r="C28" s="4" t="n">
        <v>4</v>
      </c>
      <c r="D28" s="5" t="n">
        <v>43</v>
      </c>
      <c r="E28" s="5" t="n">
        <f aca="false">C28*D28</f>
        <v>172</v>
      </c>
      <c r="F28" s="4" t="s">
        <v>10</v>
      </c>
      <c r="G28" s="3" t="s">
        <v>51</v>
      </c>
    </row>
    <row r="29" customFormat="false" ht="15" hidden="false" customHeight="false" outlineLevel="0" collapsed="false">
      <c r="A29" s="6" t="s">
        <v>52</v>
      </c>
      <c r="B29" s="6" t="s">
        <v>53</v>
      </c>
      <c r="C29" s="7" t="n">
        <v>1</v>
      </c>
      <c r="D29" s="8" t="n">
        <v>60</v>
      </c>
      <c r="E29" s="8" t="n">
        <f aca="false">C29*D29</f>
        <v>60</v>
      </c>
      <c r="F29" s="7" t="s">
        <v>10</v>
      </c>
      <c r="G29" s="6" t="s">
        <v>54</v>
      </c>
    </row>
    <row r="30" customFormat="false" ht="15" hidden="false" customHeight="false" outlineLevel="0" collapsed="false">
      <c r="A30" s="3" t="s">
        <v>52</v>
      </c>
      <c r="B30" s="3" t="s">
        <v>55</v>
      </c>
      <c r="C30" s="4" t="n">
        <v>4</v>
      </c>
      <c r="D30" s="5" t="n">
        <v>10</v>
      </c>
      <c r="E30" s="5" t="n">
        <f aca="false">C30*D30</f>
        <v>40</v>
      </c>
      <c r="F30" s="4" t="s">
        <v>10</v>
      </c>
      <c r="G30" s="3" t="s">
        <v>56</v>
      </c>
    </row>
    <row r="31" customFormat="false" ht="15" hidden="false" customHeight="false" outlineLevel="0" collapsed="false">
      <c r="A31" s="6" t="s">
        <v>57</v>
      </c>
      <c r="B31" s="6" t="s">
        <v>58</v>
      </c>
      <c r="C31" s="7" t="n">
        <v>1</v>
      </c>
      <c r="D31" s="8" t="n">
        <v>300</v>
      </c>
      <c r="E31" s="8" t="n">
        <f aca="false">C31*D31</f>
        <v>300</v>
      </c>
      <c r="F31" s="7" t="s">
        <v>10</v>
      </c>
      <c r="G31" s="6" t="s">
        <v>59</v>
      </c>
    </row>
    <row r="32" customFormat="false" ht="15" hidden="false" customHeight="false" outlineLevel="0" collapsed="false">
      <c r="A32" s="3" t="s">
        <v>57</v>
      </c>
      <c r="B32" s="3" t="s">
        <v>60</v>
      </c>
      <c r="C32" s="4" t="n">
        <v>1</v>
      </c>
      <c r="D32" s="5" t="n">
        <v>20</v>
      </c>
      <c r="E32" s="5" t="n">
        <f aca="false">C32*D32</f>
        <v>20</v>
      </c>
      <c r="F32" s="4" t="s">
        <v>10</v>
      </c>
      <c r="G32" s="3"/>
    </row>
    <row r="33" customFormat="false" ht="15" hidden="false" customHeight="false" outlineLevel="0" collapsed="false">
      <c r="A33" s="6" t="s">
        <v>57</v>
      </c>
      <c r="B33" s="6" t="s">
        <v>61</v>
      </c>
      <c r="C33" s="7" t="n">
        <v>1</v>
      </c>
      <c r="D33" s="8" t="n">
        <v>80</v>
      </c>
      <c r="E33" s="8" t="n">
        <f aca="false">C33*D33</f>
        <v>80</v>
      </c>
      <c r="F33" s="7" t="s">
        <v>10</v>
      </c>
      <c r="G33" s="6"/>
    </row>
    <row r="34" customFormat="false" ht="15" hidden="false" customHeight="false" outlineLevel="0" collapsed="false">
      <c r="A34" s="3" t="s">
        <v>57</v>
      </c>
      <c r="B34" s="3" t="s">
        <v>62</v>
      </c>
      <c r="C34" s="4" t="n">
        <v>1</v>
      </c>
      <c r="D34" s="5" t="n">
        <v>30</v>
      </c>
      <c r="E34" s="5" t="n">
        <f aca="false">C34*D34</f>
        <v>30</v>
      </c>
      <c r="F34" s="4" t="s">
        <v>10</v>
      </c>
      <c r="G34" s="3"/>
    </row>
    <row r="35" customFormat="false" ht="15" hidden="false" customHeight="false" outlineLevel="0" collapsed="false">
      <c r="A35" s="6" t="s">
        <v>57</v>
      </c>
      <c r="B35" s="6" t="s">
        <v>63</v>
      </c>
      <c r="C35" s="7" t="n">
        <v>1</v>
      </c>
      <c r="D35" s="8" t="n">
        <v>150</v>
      </c>
      <c r="E35" s="8" t="n">
        <f aca="false">C35*D35</f>
        <v>150</v>
      </c>
      <c r="F35" s="7" t="s">
        <v>10</v>
      </c>
      <c r="G35" s="6"/>
    </row>
    <row r="36" customFormat="false" ht="15" hidden="false" customHeight="false" outlineLevel="0" collapsed="false">
      <c r="A36" s="9"/>
      <c r="B36" s="10" t="s">
        <v>64</v>
      </c>
      <c r="C36" s="9"/>
      <c r="D36" s="9"/>
      <c r="E36" s="11" t="n">
        <f aca="false">SUM(E4:E35)</f>
        <v>14096</v>
      </c>
      <c r="F36" s="9"/>
      <c r="G36" s="9"/>
    </row>
    <row r="37" customFormat="false" ht="15" hidden="false" customHeight="false" outlineLevel="0" collapsed="false">
      <c r="A37" s="12"/>
      <c r="B37" s="13" t="s">
        <v>65</v>
      </c>
      <c r="C37" s="12"/>
      <c r="D37" s="12"/>
      <c r="E37" s="14" t="n">
        <f aca="false">SUMIF(F4:F35,"Alınacak",E4:E35)</f>
        <v>9096</v>
      </c>
      <c r="F37" s="12"/>
      <c r="G37" s="12"/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F4:F35" type="list">
      <formula1>"Alınacak,Sende var"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15" t="s">
        <v>66</v>
      </c>
      <c r="B1" s="15"/>
      <c r="C1" s="15"/>
      <c r="D1" s="15"/>
      <c r="E1" s="15"/>
      <c r="F1" s="15"/>
      <c r="G1" s="15"/>
    </row>
    <row r="3" customFormat="false" ht="25.5" hidden="false" customHeight="true" outlineLevel="0" collapsed="false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4" t="n">
        <v>1</v>
      </c>
      <c r="D4" s="5" t="n">
        <v>395</v>
      </c>
      <c r="E4" s="5" t="n">
        <f aca="false">C4*D4</f>
        <v>395</v>
      </c>
      <c r="F4" s="4" t="s">
        <v>10</v>
      </c>
      <c r="G4" s="3" t="s">
        <v>11</v>
      </c>
    </row>
    <row r="5" customFormat="false" ht="15" hidden="false" customHeight="false" outlineLevel="0" collapsed="false">
      <c r="A5" s="6" t="s">
        <v>8</v>
      </c>
      <c r="B5" s="6" t="s">
        <v>12</v>
      </c>
      <c r="C5" s="7" t="n">
        <v>1</v>
      </c>
      <c r="D5" s="8" t="n">
        <v>106</v>
      </c>
      <c r="E5" s="8" t="n">
        <f aca="false">C5*D5</f>
        <v>106</v>
      </c>
      <c r="F5" s="7" t="s">
        <v>10</v>
      </c>
      <c r="G5" s="6"/>
    </row>
    <row r="6" customFormat="false" ht="15" hidden="false" customHeight="false" outlineLevel="0" collapsed="false">
      <c r="A6" s="3" t="s">
        <v>8</v>
      </c>
      <c r="B6" s="3" t="s">
        <v>13</v>
      </c>
      <c r="C6" s="4" t="n">
        <v>2</v>
      </c>
      <c r="D6" s="5" t="n">
        <v>20</v>
      </c>
      <c r="E6" s="5" t="n">
        <f aca="false">C6*D6</f>
        <v>40</v>
      </c>
      <c r="F6" s="4" t="s">
        <v>10</v>
      </c>
      <c r="G6" s="3" t="s">
        <v>14</v>
      </c>
    </row>
    <row r="7" customFormat="false" ht="15" hidden="false" customHeight="false" outlineLevel="0" collapsed="false">
      <c r="A7" s="6" t="s">
        <v>8</v>
      </c>
      <c r="B7" s="6" t="s">
        <v>15</v>
      </c>
      <c r="C7" s="7" t="n">
        <v>1</v>
      </c>
      <c r="D7" s="8" t="n">
        <v>15</v>
      </c>
      <c r="E7" s="8" t="n">
        <f aca="false">C7*D7</f>
        <v>15</v>
      </c>
      <c r="F7" s="7" t="s">
        <v>10</v>
      </c>
      <c r="G7" s="6"/>
    </row>
    <row r="8" customFormat="false" ht="15" hidden="false" customHeight="false" outlineLevel="0" collapsed="false">
      <c r="A8" s="3" t="s">
        <v>8</v>
      </c>
      <c r="B8" s="3" t="s">
        <v>16</v>
      </c>
      <c r="C8" s="4" t="n">
        <v>2</v>
      </c>
      <c r="D8" s="5" t="n">
        <v>6</v>
      </c>
      <c r="E8" s="5" t="n">
        <f aca="false">C8*D8</f>
        <v>12</v>
      </c>
      <c r="F8" s="4" t="s">
        <v>10</v>
      </c>
      <c r="G8" s="3"/>
    </row>
    <row r="9" customFormat="false" ht="15" hidden="false" customHeight="false" outlineLevel="0" collapsed="false">
      <c r="A9" s="6" t="s">
        <v>8</v>
      </c>
      <c r="B9" s="6" t="s">
        <v>17</v>
      </c>
      <c r="C9" s="7" t="n">
        <v>1</v>
      </c>
      <c r="D9" s="8" t="n">
        <v>30</v>
      </c>
      <c r="E9" s="8" t="n">
        <f aca="false">C9*D9</f>
        <v>30</v>
      </c>
      <c r="F9" s="7" t="s">
        <v>10</v>
      </c>
      <c r="G9" s="6"/>
    </row>
    <row r="10" customFormat="false" ht="15" hidden="false" customHeight="false" outlineLevel="0" collapsed="false">
      <c r="A10" s="3" t="s">
        <v>8</v>
      </c>
      <c r="B10" s="3" t="s">
        <v>18</v>
      </c>
      <c r="C10" s="4" t="n">
        <v>1</v>
      </c>
      <c r="D10" s="5" t="n">
        <v>40</v>
      </c>
      <c r="E10" s="5" t="n">
        <f aca="false">C10*D10</f>
        <v>40</v>
      </c>
      <c r="F10" s="4" t="s">
        <v>10</v>
      </c>
      <c r="G10" s="3"/>
    </row>
    <row r="11" customFormat="false" ht="15" hidden="false" customHeight="false" outlineLevel="0" collapsed="false">
      <c r="A11" s="6" t="s">
        <v>19</v>
      </c>
      <c r="B11" s="6" t="s">
        <v>67</v>
      </c>
      <c r="C11" s="7" t="n">
        <v>1</v>
      </c>
      <c r="D11" s="8" t="n">
        <v>700</v>
      </c>
      <c r="E11" s="8" t="n">
        <f aca="false">C11*D11</f>
        <v>700</v>
      </c>
      <c r="F11" s="7" t="s">
        <v>10</v>
      </c>
      <c r="G11" s="6" t="s">
        <v>68</v>
      </c>
    </row>
    <row r="12" customFormat="false" ht="15" hidden="false" customHeight="false" outlineLevel="0" collapsed="false">
      <c r="A12" s="3" t="s">
        <v>19</v>
      </c>
      <c r="B12" s="3" t="s">
        <v>69</v>
      </c>
      <c r="C12" s="4" t="n">
        <v>2</v>
      </c>
      <c r="D12" s="5" t="n">
        <v>40</v>
      </c>
      <c r="E12" s="5" t="n">
        <f aca="false">C12*D12</f>
        <v>80</v>
      </c>
      <c r="F12" s="4" t="s">
        <v>10</v>
      </c>
      <c r="G12" s="3" t="s">
        <v>70</v>
      </c>
    </row>
    <row r="13" customFormat="false" ht="15" hidden="false" customHeight="false" outlineLevel="0" collapsed="false">
      <c r="A13" s="6" t="s">
        <v>33</v>
      </c>
      <c r="B13" s="6" t="s">
        <v>34</v>
      </c>
      <c r="C13" s="7" t="n">
        <v>2</v>
      </c>
      <c r="D13" s="8" t="n">
        <v>250</v>
      </c>
      <c r="E13" s="8" t="n">
        <f aca="false">C13*D13</f>
        <v>500</v>
      </c>
      <c r="F13" s="7" t="s">
        <v>10</v>
      </c>
      <c r="G13" s="6" t="s">
        <v>35</v>
      </c>
    </row>
    <row r="14" customFormat="false" ht="15" hidden="false" customHeight="false" outlineLevel="0" collapsed="false">
      <c r="A14" s="3" t="s">
        <v>33</v>
      </c>
      <c r="B14" s="3" t="s">
        <v>36</v>
      </c>
      <c r="C14" s="4" t="n">
        <v>1</v>
      </c>
      <c r="D14" s="5" t="n">
        <v>380</v>
      </c>
      <c r="E14" s="5" t="n">
        <f aca="false">C14*D14</f>
        <v>380</v>
      </c>
      <c r="F14" s="4" t="s">
        <v>10</v>
      </c>
      <c r="G14" s="3" t="s">
        <v>37</v>
      </c>
    </row>
    <row r="15" customFormat="false" ht="15" hidden="false" customHeight="false" outlineLevel="0" collapsed="false">
      <c r="A15" s="6" t="s">
        <v>33</v>
      </c>
      <c r="B15" s="6" t="s">
        <v>38</v>
      </c>
      <c r="C15" s="7" t="n">
        <v>2</v>
      </c>
      <c r="D15" s="8" t="n">
        <v>80</v>
      </c>
      <c r="E15" s="8" t="n">
        <f aca="false">C15*D15</f>
        <v>160</v>
      </c>
      <c r="F15" s="7" t="s">
        <v>10</v>
      </c>
      <c r="G15" s="6"/>
    </row>
    <row r="16" customFormat="false" ht="15" hidden="false" customHeight="false" outlineLevel="0" collapsed="false">
      <c r="A16" s="3" t="s">
        <v>33</v>
      </c>
      <c r="B16" s="3" t="s">
        <v>39</v>
      </c>
      <c r="C16" s="4" t="n">
        <v>1</v>
      </c>
      <c r="D16" s="5" t="n">
        <v>50</v>
      </c>
      <c r="E16" s="5" t="n">
        <f aca="false">C16*D16</f>
        <v>50</v>
      </c>
      <c r="F16" s="4" t="s">
        <v>10</v>
      </c>
      <c r="G16" s="3"/>
    </row>
    <row r="17" customFormat="false" ht="15" hidden="false" customHeight="false" outlineLevel="0" collapsed="false">
      <c r="A17" s="6" t="s">
        <v>40</v>
      </c>
      <c r="B17" s="6" t="s">
        <v>41</v>
      </c>
      <c r="C17" s="7" t="n">
        <v>1</v>
      </c>
      <c r="D17" s="8" t="n">
        <v>1090</v>
      </c>
      <c r="E17" s="8" t="n">
        <f aca="false">C17*D17</f>
        <v>1090</v>
      </c>
      <c r="F17" s="7" t="s">
        <v>10</v>
      </c>
      <c r="G17" s="6" t="s">
        <v>42</v>
      </c>
    </row>
    <row r="18" customFormat="false" ht="15" hidden="false" customHeight="false" outlineLevel="0" collapsed="false">
      <c r="A18" s="3" t="s">
        <v>40</v>
      </c>
      <c r="B18" s="3" t="s">
        <v>43</v>
      </c>
      <c r="C18" s="4" t="n">
        <v>1</v>
      </c>
      <c r="D18" s="5" t="n">
        <v>150</v>
      </c>
      <c r="E18" s="5" t="n">
        <f aca="false">C18*D18</f>
        <v>150</v>
      </c>
      <c r="F18" s="4" t="s">
        <v>10</v>
      </c>
      <c r="G18" s="3"/>
    </row>
    <row r="19" customFormat="false" ht="15" hidden="false" customHeight="false" outlineLevel="0" collapsed="false">
      <c r="A19" s="6" t="s">
        <v>40</v>
      </c>
      <c r="B19" s="6" t="s">
        <v>44</v>
      </c>
      <c r="C19" s="7" t="n">
        <v>1</v>
      </c>
      <c r="D19" s="8" t="n">
        <v>167</v>
      </c>
      <c r="E19" s="8" t="n">
        <f aca="false">C19*D19</f>
        <v>167</v>
      </c>
      <c r="F19" s="7" t="s">
        <v>10</v>
      </c>
      <c r="G19" s="6" t="s">
        <v>45</v>
      </c>
    </row>
    <row r="20" customFormat="false" ht="15" hidden="false" customHeight="false" outlineLevel="0" collapsed="false">
      <c r="A20" s="3" t="s">
        <v>40</v>
      </c>
      <c r="B20" s="3" t="s">
        <v>46</v>
      </c>
      <c r="C20" s="4" t="n">
        <v>1</v>
      </c>
      <c r="D20" s="5" t="n">
        <v>53</v>
      </c>
      <c r="E20" s="5" t="n">
        <f aca="false">C20*D20</f>
        <v>53</v>
      </c>
      <c r="F20" s="4" t="s">
        <v>10</v>
      </c>
      <c r="G20" s="3"/>
    </row>
    <row r="21" customFormat="false" ht="15" hidden="false" customHeight="false" outlineLevel="0" collapsed="false">
      <c r="A21" s="6" t="s">
        <v>40</v>
      </c>
      <c r="B21" s="6" t="s">
        <v>47</v>
      </c>
      <c r="C21" s="7" t="n">
        <v>1</v>
      </c>
      <c r="D21" s="8" t="n">
        <v>26</v>
      </c>
      <c r="E21" s="8" t="n">
        <f aca="false">C21*D21</f>
        <v>26</v>
      </c>
      <c r="F21" s="7" t="s">
        <v>10</v>
      </c>
      <c r="G21" s="6"/>
    </row>
    <row r="22" customFormat="false" ht="15" hidden="false" customHeight="false" outlineLevel="0" collapsed="false">
      <c r="A22" s="3" t="s">
        <v>40</v>
      </c>
      <c r="B22" s="3" t="s">
        <v>48</v>
      </c>
      <c r="C22" s="4" t="n">
        <v>1</v>
      </c>
      <c r="D22" s="5" t="n">
        <v>50</v>
      </c>
      <c r="E22" s="5" t="n">
        <f aca="false">C22*D22</f>
        <v>50</v>
      </c>
      <c r="F22" s="4" t="s">
        <v>10</v>
      </c>
      <c r="G22" s="3"/>
    </row>
    <row r="23" customFormat="false" ht="15" hidden="false" customHeight="false" outlineLevel="0" collapsed="false">
      <c r="A23" s="6" t="s">
        <v>40</v>
      </c>
      <c r="B23" s="6" t="s">
        <v>49</v>
      </c>
      <c r="C23" s="7" t="n">
        <v>1</v>
      </c>
      <c r="D23" s="8" t="n">
        <v>30</v>
      </c>
      <c r="E23" s="8" t="n">
        <f aca="false">C23*D23</f>
        <v>30</v>
      </c>
      <c r="F23" s="7" t="s">
        <v>10</v>
      </c>
      <c r="G23" s="6"/>
    </row>
    <row r="24" customFormat="false" ht="15" hidden="false" customHeight="false" outlineLevel="0" collapsed="false">
      <c r="A24" s="3" t="s">
        <v>40</v>
      </c>
      <c r="B24" s="3" t="s">
        <v>50</v>
      </c>
      <c r="C24" s="4" t="n">
        <v>4</v>
      </c>
      <c r="D24" s="5" t="n">
        <v>43</v>
      </c>
      <c r="E24" s="5" t="n">
        <f aca="false">C24*D24</f>
        <v>172</v>
      </c>
      <c r="F24" s="4" t="s">
        <v>10</v>
      </c>
      <c r="G24" s="3" t="s">
        <v>51</v>
      </c>
    </row>
    <row r="25" customFormat="false" ht="15" hidden="false" customHeight="false" outlineLevel="0" collapsed="false">
      <c r="A25" s="6" t="s">
        <v>52</v>
      </c>
      <c r="B25" s="6" t="s">
        <v>53</v>
      </c>
      <c r="C25" s="7" t="n">
        <v>1</v>
      </c>
      <c r="D25" s="8" t="n">
        <v>60</v>
      </c>
      <c r="E25" s="8" t="n">
        <f aca="false">C25*D25</f>
        <v>60</v>
      </c>
      <c r="F25" s="7" t="s">
        <v>10</v>
      </c>
      <c r="G25" s="6" t="s">
        <v>54</v>
      </c>
    </row>
    <row r="26" customFormat="false" ht="15" hidden="false" customHeight="false" outlineLevel="0" collapsed="false">
      <c r="A26" s="3" t="s">
        <v>52</v>
      </c>
      <c r="B26" s="3" t="s">
        <v>55</v>
      </c>
      <c r="C26" s="4" t="n">
        <v>4</v>
      </c>
      <c r="D26" s="5" t="n">
        <v>10</v>
      </c>
      <c r="E26" s="5" t="n">
        <f aca="false">C26*D26</f>
        <v>40</v>
      </c>
      <c r="F26" s="4" t="s">
        <v>10</v>
      </c>
      <c r="G26" s="3" t="s">
        <v>56</v>
      </c>
    </row>
    <row r="27" customFormat="false" ht="15" hidden="false" customHeight="false" outlineLevel="0" collapsed="false">
      <c r="A27" s="6" t="s">
        <v>57</v>
      </c>
      <c r="B27" s="6" t="s">
        <v>58</v>
      </c>
      <c r="C27" s="7" t="n">
        <v>1</v>
      </c>
      <c r="D27" s="8" t="n">
        <v>300</v>
      </c>
      <c r="E27" s="8" t="n">
        <f aca="false">C27*D27</f>
        <v>300</v>
      </c>
      <c r="F27" s="7" t="s">
        <v>10</v>
      </c>
      <c r="G27" s="6" t="s">
        <v>59</v>
      </c>
    </row>
    <row r="28" customFormat="false" ht="15" hidden="false" customHeight="false" outlineLevel="0" collapsed="false">
      <c r="A28" s="3" t="s">
        <v>57</v>
      </c>
      <c r="B28" s="3" t="s">
        <v>60</v>
      </c>
      <c r="C28" s="4" t="n">
        <v>1</v>
      </c>
      <c r="D28" s="5" t="n">
        <v>20</v>
      </c>
      <c r="E28" s="5" t="n">
        <f aca="false">C28*D28</f>
        <v>20</v>
      </c>
      <c r="F28" s="4" t="s">
        <v>10</v>
      </c>
      <c r="G28" s="3"/>
    </row>
    <row r="29" customFormat="false" ht="15" hidden="false" customHeight="false" outlineLevel="0" collapsed="false">
      <c r="A29" s="6" t="s">
        <v>57</v>
      </c>
      <c r="B29" s="6" t="s">
        <v>61</v>
      </c>
      <c r="C29" s="7" t="n">
        <v>1</v>
      </c>
      <c r="D29" s="8" t="n">
        <v>80</v>
      </c>
      <c r="E29" s="8" t="n">
        <f aca="false">C29*D29</f>
        <v>80</v>
      </c>
      <c r="F29" s="7" t="s">
        <v>10</v>
      </c>
      <c r="G29" s="6"/>
    </row>
    <row r="30" customFormat="false" ht="15" hidden="false" customHeight="false" outlineLevel="0" collapsed="false">
      <c r="A30" s="3" t="s">
        <v>57</v>
      </c>
      <c r="B30" s="3" t="s">
        <v>62</v>
      </c>
      <c r="C30" s="4" t="n">
        <v>1</v>
      </c>
      <c r="D30" s="5" t="n">
        <v>30</v>
      </c>
      <c r="E30" s="5" t="n">
        <f aca="false">C30*D30</f>
        <v>30</v>
      </c>
      <c r="F30" s="4" t="s">
        <v>10</v>
      </c>
      <c r="G30" s="3"/>
    </row>
    <row r="31" customFormat="false" ht="15" hidden="false" customHeight="false" outlineLevel="0" collapsed="false">
      <c r="A31" s="6" t="s">
        <v>57</v>
      </c>
      <c r="B31" s="6" t="s">
        <v>63</v>
      </c>
      <c r="C31" s="7" t="n">
        <v>1</v>
      </c>
      <c r="D31" s="8" t="n">
        <v>150</v>
      </c>
      <c r="E31" s="8" t="n">
        <f aca="false">C31*D31</f>
        <v>150</v>
      </c>
      <c r="F31" s="7" t="s">
        <v>10</v>
      </c>
      <c r="G31" s="6"/>
    </row>
    <row r="32" customFormat="false" ht="15" hidden="false" customHeight="false" outlineLevel="0" collapsed="false">
      <c r="A32" s="17"/>
      <c r="B32" s="18" t="s">
        <v>64</v>
      </c>
      <c r="C32" s="17"/>
      <c r="D32" s="17"/>
      <c r="E32" s="19" t="n">
        <f aca="false">SUM(E4:E31)</f>
        <v>4926</v>
      </c>
      <c r="F32" s="17"/>
      <c r="G32" s="17"/>
    </row>
    <row r="33" customFormat="false" ht="15" hidden="false" customHeight="false" outlineLevel="0" collapsed="false">
      <c r="A33" s="12"/>
      <c r="B33" s="13" t="s">
        <v>65</v>
      </c>
      <c r="C33" s="12"/>
      <c r="D33" s="12"/>
      <c r="E33" s="14" t="n">
        <f aca="false">SUMIF(F4:F31,"Alınacak",E4:E31)</f>
        <v>4926</v>
      </c>
      <c r="F33" s="12"/>
      <c r="G33" s="12"/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F4:F31" type="list">
      <formula1>"Alınacak,Sende var"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2026-09-11T15:50:58Z</dcterms:created>
  <dc:creator>openpyxl</dc:creator>
  <dc:description/>
  <dc:language>en-US</dc:language>
  <cp:lastModifiedBy/>
  <dcterms:modified xsi:type="dcterms:W3CDTF">2026-09-11T15:50:58Z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